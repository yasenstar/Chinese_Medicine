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Chinese_Medicine\cn-med-kg\"/>
    </mc:Choice>
  </mc:AlternateContent>
  <xr:revisionPtr revIDLastSave="0" documentId="13_ncr:1_{2742809D-9C4D-409F-906D-D37BE966E1A6}" xr6:coauthVersionLast="47" xr6:coauthVersionMax="47" xr10:uidLastSave="{00000000-0000-0000-0000-000000000000}"/>
  <bookViews>
    <workbookView xWindow="-120" yWindow="-120" windowWidth="29040" windowHeight="15720" xr2:uid="{FCBB9041-7F32-418A-9A6B-AB2AB6A56C91}"/>
  </bookViews>
  <sheets>
    <sheet name="1-namelist" sheetId="1" r:id="rId1"/>
    <sheet name="2-component" sheetId="2" r:id="rId2"/>
    <sheet name="3-function" sheetId="3" r:id="rId3"/>
    <sheet name="4-usedf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2" i="1"/>
  <c r="B3" i="1"/>
  <c r="B4" i="1"/>
  <c r="B5" i="1"/>
  <c r="B6" i="1"/>
</calcChain>
</file>

<file path=xl/sharedStrings.xml><?xml version="1.0" encoding="utf-8"?>
<sst xmlns="http://schemas.openxmlformats.org/spreadsheetml/2006/main" count="311" uniqueCount="190">
  <si>
    <t>药品名称</t>
  </si>
  <si>
    <t>品牌</t>
  </si>
  <si>
    <t>红贴</t>
  </si>
  <si>
    <t>楚院士</t>
  </si>
  <si>
    <t>生产商</t>
  </si>
  <si>
    <t>河南苗弘堂生物科技有限公司</t>
  </si>
  <si>
    <t>执行标准</t>
  </si>
  <si>
    <t>Q/HMHT 002-2023</t>
  </si>
  <si>
    <t>成分</t>
  </si>
  <si>
    <t>艾叶</t>
  </si>
  <si>
    <t>肉桂</t>
  </si>
  <si>
    <t>生姜</t>
  </si>
  <si>
    <t>丁香</t>
  </si>
  <si>
    <t>荆芥</t>
  </si>
  <si>
    <t>薄荷</t>
  </si>
  <si>
    <t>蒲公英</t>
  </si>
  <si>
    <t>花椒</t>
  </si>
  <si>
    <t>山奈</t>
  </si>
  <si>
    <t>白芷</t>
  </si>
  <si>
    <t>老鹳草</t>
  </si>
  <si>
    <t>老黑膏</t>
  </si>
  <si>
    <t>江西龙源医疗用品有限公司</t>
  </si>
  <si>
    <t>生产商地址</t>
  </si>
  <si>
    <t>河南省周口市淮阳区腾飞路与106国道交叉口南300米路东</t>
  </si>
  <si>
    <t>生产商电话</t>
  </si>
  <si>
    <t>4000051608</t>
  </si>
  <si>
    <t>4000041168</t>
  </si>
  <si>
    <t>Q/JXLY 048-2025</t>
  </si>
  <si>
    <t>江西省南昌市青山湖区罗家镇胡坊村898号</t>
  </si>
  <si>
    <t>嗬杺</t>
  </si>
  <si>
    <t>艾草</t>
  </si>
  <si>
    <t>党参</t>
  </si>
  <si>
    <t>三七</t>
  </si>
  <si>
    <t>杏仁</t>
  </si>
  <si>
    <t>当归</t>
  </si>
  <si>
    <t>茯苓</t>
  </si>
  <si>
    <t>冰片</t>
  </si>
  <si>
    <t>神农镇痛膏</t>
  </si>
  <si>
    <t>燕舞药业</t>
  </si>
  <si>
    <t>黄石燕舞药业有限公司</t>
  </si>
  <si>
    <t>功能</t>
  </si>
  <si>
    <t>主治</t>
  </si>
  <si>
    <t>活血散瘀</t>
  </si>
  <si>
    <t>消肿止痛</t>
  </si>
  <si>
    <t>跌打损伤</t>
  </si>
  <si>
    <t>风湿关节痛</t>
  </si>
  <si>
    <t>腰背酸痛</t>
  </si>
  <si>
    <t>胆南星</t>
  </si>
  <si>
    <t>狗脊</t>
  </si>
  <si>
    <t>羌活</t>
  </si>
  <si>
    <t>石菖蒲</t>
  </si>
  <si>
    <t>防风</t>
  </si>
  <si>
    <t>升麻</t>
  </si>
  <si>
    <t>红花</t>
  </si>
  <si>
    <t>土鳖虫</t>
  </si>
  <si>
    <t>川芎</t>
  </si>
  <si>
    <t>血竭</t>
  </si>
  <si>
    <t>马钱子</t>
  </si>
  <si>
    <t>没药</t>
  </si>
  <si>
    <t>樟脑</t>
  </si>
  <si>
    <t>重楼</t>
  </si>
  <si>
    <t>薄荷脑</t>
  </si>
  <si>
    <t>乳香</t>
  </si>
  <si>
    <t>水杨酸甲酯</t>
  </si>
  <si>
    <t>丁香罗勒油</t>
  </si>
  <si>
    <t>人工麝香</t>
  </si>
  <si>
    <t>颠茄流浸膏</t>
  </si>
  <si>
    <t>熊胆粉</t>
  </si>
  <si>
    <t>YBZ01132008</t>
  </si>
  <si>
    <t>湖北省黄石经济技术开发区王圣大道东108号</t>
  </si>
  <si>
    <t>0714-3298603</t>
  </si>
  <si>
    <t>拇指外翻贴</t>
  </si>
  <si>
    <t>天成藏药</t>
  </si>
  <si>
    <t>林奈生物-南阳零一众合药业有限公司</t>
  </si>
  <si>
    <t>河南省南阳市卧龙区七里园乡杜诗路冯楼艾草产业园19号</t>
  </si>
  <si>
    <t>Q/NLYZH 503-2025</t>
  </si>
  <si>
    <t>UID</t>
  </si>
  <si>
    <t>m000001</t>
  </si>
  <si>
    <t>m000002</t>
  </si>
  <si>
    <t>m000003</t>
  </si>
  <si>
    <t>m000004</t>
  </si>
  <si>
    <t>桂枝</t>
  </si>
  <si>
    <t>炒白术</t>
  </si>
  <si>
    <t>炙甘草</t>
  </si>
  <si>
    <t>麻黄</t>
  </si>
  <si>
    <t>细辛</t>
  </si>
  <si>
    <t>薏苡仁</t>
  </si>
  <si>
    <t>知母</t>
  </si>
  <si>
    <t>氨糖软骨素姜黄热敷护膝宝</t>
  </si>
  <si>
    <t>m000005</t>
  </si>
  <si>
    <t>同仁堂</t>
  </si>
  <si>
    <t>北京同仁堂兴安保健科技有限责任公司</t>
  </si>
  <si>
    <t>北京同仁堂兴安保健科技有限责任公司大兴分公司</t>
  </si>
  <si>
    <t>4006331058</t>
  </si>
  <si>
    <t>Q/TRTDX 0108</t>
  </si>
  <si>
    <t>氨基葡萄糖盐酸盐</t>
  </si>
  <si>
    <t>硫酸软骨素钠</t>
  </si>
  <si>
    <t>生姜粉</t>
  </si>
  <si>
    <t>忍冬藤</t>
  </si>
  <si>
    <t>姜黄</t>
  </si>
  <si>
    <t>药品ID</t>
  </si>
  <si>
    <t>利口乐甜味口香糖</t>
  </si>
  <si>
    <t>利口乐</t>
  </si>
  <si>
    <t>BrandEnglish</t>
  </si>
  <si>
    <t>NameEnglish</t>
  </si>
  <si>
    <t>Ricola</t>
  </si>
  <si>
    <t>ComponentEnglish</t>
  </si>
  <si>
    <t>m000006</t>
  </si>
  <si>
    <t>白毛茛</t>
  </si>
  <si>
    <t>伯内特</t>
  </si>
  <si>
    <t>速生草</t>
  </si>
  <si>
    <t>棉花糖植物</t>
  </si>
  <si>
    <t>女士斗篷</t>
  </si>
  <si>
    <t>接骨木花</t>
  </si>
  <si>
    <t>锦葵</t>
  </si>
  <si>
    <t>圣人</t>
  </si>
  <si>
    <t>蓍草</t>
  </si>
  <si>
    <t>报春花</t>
  </si>
  <si>
    <t>芭蕉</t>
  </si>
  <si>
    <t>百里香</t>
  </si>
  <si>
    <t>Horehound</t>
  </si>
  <si>
    <t>Burnet</t>
  </si>
  <si>
    <t>Speedwell</t>
  </si>
  <si>
    <t>Marshmallow Plant</t>
  </si>
  <si>
    <t>Lady's Mantle</t>
  </si>
  <si>
    <t>Elderflower</t>
  </si>
  <si>
    <t>Mallow</t>
  </si>
  <si>
    <t>Peppermint</t>
  </si>
  <si>
    <t>Sage</t>
  </si>
  <si>
    <t>Yarrow</t>
  </si>
  <si>
    <t>Cowslip</t>
  </si>
  <si>
    <t>Plantain</t>
  </si>
  <si>
    <t>Thyme</t>
  </si>
  <si>
    <t>Ricola Herbal Drops</t>
  </si>
  <si>
    <t>生产商网址</t>
  </si>
  <si>
    <t>https://www.ricola.com/</t>
  </si>
  <si>
    <t>Ricola Group AG</t>
  </si>
  <si>
    <t>Baslestrasse 31, 4242 Laufen, Switzerland</t>
  </si>
  <si>
    <t>+41 61 765 41 21</t>
  </si>
  <si>
    <t>强力枇杷露</t>
  </si>
  <si>
    <t>胡庆余堂</t>
  </si>
  <si>
    <t>杭州胡庆余堂药业有限公司</t>
  </si>
  <si>
    <t>浙江杭州</t>
  </si>
  <si>
    <t>m000007</t>
  </si>
  <si>
    <t>枇杷叶</t>
  </si>
  <si>
    <t>罂粟壳</t>
  </si>
  <si>
    <t>百部</t>
  </si>
  <si>
    <t>白前</t>
  </si>
  <si>
    <t>桑白皮</t>
  </si>
  <si>
    <t>桔梗</t>
  </si>
  <si>
    <t>养阴敛肺</t>
  </si>
  <si>
    <t>止咳祛痰</t>
  </si>
  <si>
    <t>支气管炎咳嗽</t>
  </si>
  <si>
    <t>清咽滴丸</t>
  </si>
  <si>
    <t>达仁堂</t>
  </si>
  <si>
    <t>津药达仁堂集团股份有限公司第六中药厂</t>
  </si>
  <si>
    <t>WS3-176(Z-25)-97(Z)-2019</t>
  </si>
  <si>
    <t>批准文号</t>
  </si>
  <si>
    <t>国药准字Z10930004</t>
  </si>
  <si>
    <t>天津市北辰区青光北</t>
  </si>
  <si>
    <t>4000929666</t>
  </si>
  <si>
    <t>https://www.tj6zy.com.cn</t>
  </si>
  <si>
    <t>Qingyan Diwan</t>
  </si>
  <si>
    <t>Hong Tie</t>
  </si>
  <si>
    <t>Lao Hei Gao</t>
  </si>
  <si>
    <t>Shennong Zhentonggao</t>
  </si>
  <si>
    <t>MuZhiWaiFanTie</t>
  </si>
  <si>
    <t>QiangLiPiPaLu</t>
  </si>
  <si>
    <t>m000008</t>
  </si>
  <si>
    <t>青黛</t>
  </si>
  <si>
    <t>甘草</t>
  </si>
  <si>
    <t>诃子</t>
  </si>
  <si>
    <t>HeZi</t>
  </si>
  <si>
    <t>人工牛黄</t>
  </si>
  <si>
    <t>疏风清热</t>
  </si>
  <si>
    <t>解毒利咽</t>
  </si>
  <si>
    <t>风热喉痹，咽痛，咽干，口渴</t>
  </si>
  <si>
    <t>微恶风，发热，咽部红肿，急性咽炎</t>
  </si>
  <si>
    <t>草本咽喉贴</t>
  </si>
  <si>
    <t>CaoBeiYanHouTie</t>
  </si>
  <si>
    <t>叶向舍</t>
  </si>
  <si>
    <t>南阳仲古艾业有限公司</t>
  </si>
  <si>
    <t>南阳市高新区中关村科技产业聚集区纬十路18号</t>
  </si>
  <si>
    <t>Q/NGZ022-2020</t>
  </si>
  <si>
    <t>m000009</t>
  </si>
  <si>
    <t>干姜</t>
  </si>
  <si>
    <t>透骨草</t>
  </si>
  <si>
    <t>辣椒</t>
  </si>
  <si>
    <t>伸筋草</t>
  </si>
  <si>
    <t>缓解咽部疼痛不适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</si>
</sst>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0" fillId="0" borderId="0" xfId="0" applyNumberFormat="1"/>
    <xf numFmtId="0" fontId="0" fillId="0" borderId="9" xfId="0" applyBorder="1"/>
    <xf numFmtId="49" fontId="0" fillId="0" borderId="4" xfId="0" applyNumberFormat="1" applyBorder="1"/>
    <xf numFmtId="49" fontId="0" fillId="0" borderId="9" xfId="0" applyNumberFormat="1" applyBorder="1"/>
    <xf numFmtId="0" fontId="2" fillId="0" borderId="7" xfId="1" applyBorder="1"/>
    <xf numFmtId="49" fontId="0" fillId="0" borderId="7" xfId="0" applyNumberFormat="1" applyBorder="1"/>
    <xf numFmtId="49" fontId="0" fillId="0" borderId="5" xfId="0" applyNumberFormat="1" applyBorder="1"/>
    <xf numFmtId="49" fontId="0" fillId="0" borderId="2" xfId="0" applyNumberFormat="1" applyBorder="1"/>
    <xf numFmtId="49" fontId="0" fillId="0" borderId="8" xfId="0" applyNumberFormat="1" applyBorder="1"/>
    <xf numFmtId="0" fontId="0" fillId="0" borderId="6" xfId="0" applyFont="1" applyFill="1" applyBorder="1"/>
    <xf numFmtId="0" fontId="0" fillId="0" borderId="8" xfId="0" applyFill="1" applyBorder="1"/>
  </cellXfs>
  <cellStyles count="2">
    <cellStyle name="Hyperlink" xfId="1" builtinId="8"/>
    <cellStyle name="Normal" xfId="0" builtinId="0"/>
  </cellStyles>
  <dxfs count="36">
    <dxf>
      <numFmt numFmtId="30" formatCode="@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7DDAFC75-7388-4BB0-A6FF-1C3128B300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91243D-01EB-417B-A545-8F66A0029A2F}" name="Table2" displayName="Table2" ref="A1:K10" totalsRowShown="0" headerRowDxfId="35" headerRowBorderDxfId="34" tableBorderDxfId="33" totalsRowBorderDxfId="32">
  <autoFilter ref="A1:K10" xr:uid="{2091243D-01EB-417B-A545-8F66A0029A2F}"/>
  <tableColumns count="11">
    <tableColumn id="1" xr3:uid="{70404F4C-EA74-419B-B8F7-C0E749DBA8EF}" name="药品名称" dataDxfId="31"/>
    <tableColumn id="7" xr3:uid="{A127C5AC-1A8D-4194-B82B-CEA8C46568A9}" name="UID" dataDxfId="30">
      <calculatedColumnFormula>"m00000" &amp; TEXT(ROW() - ROW(Table2[[#Headers],[UID]]), "0;-0")</calculatedColumnFormula>
    </tableColumn>
    <tableColumn id="2" xr3:uid="{745BAE8D-3E74-492D-9F1F-A46F418B7407}" name="品牌" dataDxfId="29"/>
    <tableColumn id="8" xr3:uid="{4568304F-01F3-4E31-A34C-C35C96C88C80}" name="NameEnglish" dataDxfId="28"/>
    <tableColumn id="9" xr3:uid="{8640C111-58A7-4B70-8A2F-6ECA558B9042}" name="BrandEnglish" dataDxfId="27"/>
    <tableColumn id="3" xr3:uid="{21E7B030-7D6F-4754-8BAA-1C33EF145001}" name="生产商" dataDxfId="26"/>
    <tableColumn id="5" xr3:uid="{76794CF7-5E96-4BA4-A111-0F4FB586AAEB}" name="生产商地址" dataDxfId="25"/>
    <tableColumn id="10" xr3:uid="{835D09B6-5D13-418C-9FB4-33A768C770CA}" name="生产商网址" dataDxfId="24"/>
    <tableColumn id="6" xr3:uid="{098A7009-4AD7-411F-A1F5-1CE1E004D519}" name="生产商电话" dataDxfId="23"/>
    <tableColumn id="11" xr3:uid="{A8035F40-8DAA-459C-8132-AB84A20FE398}" name="批准文号" dataDxfId="0"/>
    <tableColumn id="4" xr3:uid="{2B5D44FA-F4F3-4890-8993-4D8C1FD7AA21}" name="执行标准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ED46AD-AD3A-4EEB-8896-42FDC45797B6}" name="Table3" displayName="Table3" ref="A1:C97" totalsRowShown="0" headerRowDxfId="21" headerRowBorderDxfId="20" tableBorderDxfId="19" totalsRowBorderDxfId="18">
  <autoFilter ref="A1:C97" xr:uid="{14ED46AD-AD3A-4EEB-8896-42FDC45797B6}"/>
  <tableColumns count="3">
    <tableColumn id="1" xr3:uid="{9CBDF56B-3BCD-4FF2-8195-561FA1F4C31A}" name="药品ID" dataDxfId="17"/>
    <tableColumn id="2" xr3:uid="{77270F8D-0C55-4EBC-B9E0-6E3C41859F9D}" name="成分" dataDxfId="16"/>
    <tableColumn id="3" xr3:uid="{FC03B7AA-E421-4532-B8E6-ECB424CCAB8A}" name="ComponentEnglish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49AA06-1ABA-4D07-85FE-0008DCD2BD44}" name="Table5" displayName="Table5" ref="A1:B7" totalsRowShown="0" headerRowDxfId="14" dataDxfId="12" headerRowBorderDxfId="13" tableBorderDxfId="11" totalsRowBorderDxfId="10">
  <autoFilter ref="A1:B7" xr:uid="{CA49AA06-1ABA-4D07-85FE-0008DCD2BD44}"/>
  <tableColumns count="2">
    <tableColumn id="1" xr3:uid="{B8626E94-0403-419E-8E68-71E33A149F5F}" name="药品ID" dataDxfId="9"/>
    <tableColumn id="2" xr3:uid="{69B649F7-4B8F-4BD8-8C6B-CA5943FF7F38}" name="功能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9167B2-548D-49FA-94EE-4B29E8917423}" name="Table4" displayName="Table4" ref="A1:B8" totalsRowShown="0" headerRowDxfId="7" dataDxfId="5" headerRowBorderDxfId="6" tableBorderDxfId="4" totalsRowBorderDxfId="3">
  <autoFilter ref="A1:B8" xr:uid="{959167B2-548D-49FA-94EE-4B29E8917423}"/>
  <tableColumns count="2">
    <tableColumn id="1" xr3:uid="{B3E95E7E-96F3-4FFA-B777-46887DE69A33}" name="药品ID" dataDxfId="2"/>
    <tableColumn id="2" xr3:uid="{65C8285F-658B-48F3-A03C-C101895E22EF}" name="主治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tj6zy.com.cn/" TargetMode="External"/><Relationship Id="rId1" Type="http://schemas.openxmlformats.org/officeDocument/2006/relationships/hyperlink" Target="https://www.ricola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E823-9BD2-43CB-A179-B4CF5CB62E6F}">
  <dimension ref="A1:K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1" sqref="F21"/>
    </sheetView>
  </sheetViews>
  <sheetFormatPr defaultRowHeight="15" x14ac:dyDescent="0.25"/>
  <cols>
    <col min="1" max="1" width="27.28515625" bestFit="1" customWidth="1"/>
    <col min="2" max="2" width="11.85546875" customWidth="1"/>
    <col min="3" max="3" width="9.5703125" bestFit="1" customWidth="1"/>
    <col min="4" max="4" width="22" bestFit="1" customWidth="1"/>
    <col min="5" max="5" width="13.5703125" bestFit="1" customWidth="1"/>
    <col min="6" max="6" width="29.42578125" bestFit="1" customWidth="1"/>
    <col min="7" max="7" width="55.7109375" bestFit="1" customWidth="1"/>
    <col min="8" max="8" width="23.7109375" bestFit="1" customWidth="1"/>
    <col min="9" max="9" width="14.85546875" style="9" bestFit="1" customWidth="1"/>
    <col min="10" max="10" width="14" style="9" customWidth="1"/>
    <col min="11" max="11" width="23.85546875" bestFit="1" customWidth="1"/>
  </cols>
  <sheetData>
    <row r="1" spans="1:11" x14ac:dyDescent="0.25">
      <c r="A1" s="3" t="s">
        <v>0</v>
      </c>
      <c r="B1" s="4" t="s">
        <v>76</v>
      </c>
      <c r="C1" s="4" t="s">
        <v>1</v>
      </c>
      <c r="D1" s="4" t="s">
        <v>104</v>
      </c>
      <c r="E1" s="4" t="s">
        <v>103</v>
      </c>
      <c r="F1" s="4" t="s">
        <v>4</v>
      </c>
      <c r="G1" s="4" t="s">
        <v>22</v>
      </c>
      <c r="H1" s="4" t="s">
        <v>134</v>
      </c>
      <c r="I1" s="11" t="s">
        <v>24</v>
      </c>
      <c r="J1" s="15" t="s">
        <v>157</v>
      </c>
      <c r="K1" s="5" t="s">
        <v>6</v>
      </c>
    </row>
    <row r="2" spans="1:11" x14ac:dyDescent="0.25">
      <c r="A2" s="1" t="s">
        <v>2</v>
      </c>
      <c r="B2" s="10" t="str">
        <f>"m00000" &amp; TEXT(ROW() - ROW(Table2[[#Headers],[UID]]), "0;-0")</f>
        <v>m000001</v>
      </c>
      <c r="C2" s="10" t="s">
        <v>3</v>
      </c>
      <c r="D2" s="10" t="s">
        <v>163</v>
      </c>
      <c r="E2" s="10"/>
      <c r="F2" s="10" t="s">
        <v>5</v>
      </c>
      <c r="G2" s="10" t="s">
        <v>23</v>
      </c>
      <c r="H2" s="10"/>
      <c r="I2" s="12" t="s">
        <v>25</v>
      </c>
      <c r="J2" s="16"/>
      <c r="K2" s="2" t="s">
        <v>7</v>
      </c>
    </row>
    <row r="3" spans="1:11" x14ac:dyDescent="0.25">
      <c r="A3" s="1" t="s">
        <v>20</v>
      </c>
      <c r="B3" s="10" t="str">
        <f>"m00000" &amp; TEXT(ROW() - ROW(Table2[[#Headers],[UID]]), "0;-0")</f>
        <v>m000002</v>
      </c>
      <c r="C3" s="10" t="s">
        <v>29</v>
      </c>
      <c r="D3" s="10" t="s">
        <v>164</v>
      </c>
      <c r="E3" s="10"/>
      <c r="F3" s="10" t="s">
        <v>21</v>
      </c>
      <c r="G3" s="10" t="s">
        <v>28</v>
      </c>
      <c r="H3" s="10"/>
      <c r="I3" s="12" t="s">
        <v>26</v>
      </c>
      <c r="J3" s="16"/>
      <c r="K3" s="2" t="s">
        <v>27</v>
      </c>
    </row>
    <row r="4" spans="1:11" x14ac:dyDescent="0.25">
      <c r="A4" s="1" t="s">
        <v>37</v>
      </c>
      <c r="B4" s="10" t="str">
        <f>"m00000" &amp; TEXT(ROW() - ROW(Table2[[#Headers],[UID]]), "0;-0")</f>
        <v>m000003</v>
      </c>
      <c r="C4" s="10" t="s">
        <v>38</v>
      </c>
      <c r="D4" s="10" t="s">
        <v>165</v>
      </c>
      <c r="E4" s="10"/>
      <c r="F4" s="10" t="s">
        <v>39</v>
      </c>
      <c r="G4" s="10" t="s">
        <v>69</v>
      </c>
      <c r="H4" s="10"/>
      <c r="I4" s="12" t="s">
        <v>70</v>
      </c>
      <c r="J4" s="16"/>
      <c r="K4" s="2" t="s">
        <v>68</v>
      </c>
    </row>
    <row r="5" spans="1:11" x14ac:dyDescent="0.25">
      <c r="A5" s="1" t="s">
        <v>71</v>
      </c>
      <c r="B5" s="10" t="str">
        <f>"m00000" &amp; TEXT(ROW() - ROW(Table2[[#Headers],[UID]]), "0;-0")</f>
        <v>m000004</v>
      </c>
      <c r="C5" s="10" t="s">
        <v>72</v>
      </c>
      <c r="D5" s="10" t="s">
        <v>166</v>
      </c>
      <c r="E5" s="10"/>
      <c r="F5" s="10" t="s">
        <v>73</v>
      </c>
      <c r="G5" s="10" t="s">
        <v>74</v>
      </c>
      <c r="H5" s="10"/>
      <c r="I5" s="12"/>
      <c r="J5" s="16"/>
      <c r="K5" s="2" t="s">
        <v>75</v>
      </c>
    </row>
    <row r="6" spans="1:11" x14ac:dyDescent="0.25">
      <c r="A6" s="1" t="s">
        <v>88</v>
      </c>
      <c r="B6" s="10" t="str">
        <f>"m00000" &amp; TEXT(ROW() - ROW(Table2[[#Headers],[UID]]), "0;-0")</f>
        <v>m000005</v>
      </c>
      <c r="C6" s="10" t="s">
        <v>90</v>
      </c>
      <c r="D6" s="10"/>
      <c r="E6" s="10"/>
      <c r="F6" s="10" t="s">
        <v>91</v>
      </c>
      <c r="G6" s="10" t="s">
        <v>92</v>
      </c>
      <c r="H6" s="10"/>
      <c r="I6" s="12" t="s">
        <v>93</v>
      </c>
      <c r="J6" s="16"/>
      <c r="K6" s="2" t="s">
        <v>94</v>
      </c>
    </row>
    <row r="7" spans="1:11" x14ac:dyDescent="0.25">
      <c r="A7" s="6" t="s">
        <v>101</v>
      </c>
      <c r="B7" s="7" t="str">
        <f>"m00000" &amp; TEXT(ROW() - ROW(Table2[[#Headers],[UID]]), "0;-0")</f>
        <v>m000006</v>
      </c>
      <c r="C7" s="7" t="s">
        <v>102</v>
      </c>
      <c r="D7" s="7" t="s">
        <v>133</v>
      </c>
      <c r="E7" s="7" t="s">
        <v>105</v>
      </c>
      <c r="F7" s="7" t="s">
        <v>136</v>
      </c>
      <c r="G7" s="7" t="s">
        <v>137</v>
      </c>
      <c r="H7" s="13" t="s">
        <v>135</v>
      </c>
      <c r="I7" s="14" t="s">
        <v>138</v>
      </c>
      <c r="J7" s="17"/>
      <c r="K7" s="8"/>
    </row>
    <row r="8" spans="1:11" x14ac:dyDescent="0.25">
      <c r="A8" s="6" t="s">
        <v>139</v>
      </c>
      <c r="B8" s="7" t="str">
        <f>"m00000" &amp; TEXT(ROW() - ROW(Table2[[#Headers],[UID]]), "0;-0")</f>
        <v>m000007</v>
      </c>
      <c r="C8" s="7" t="s">
        <v>140</v>
      </c>
      <c r="D8" s="7" t="s">
        <v>167</v>
      </c>
      <c r="E8" s="7"/>
      <c r="F8" s="7" t="s">
        <v>141</v>
      </c>
      <c r="G8" s="7" t="s">
        <v>142</v>
      </c>
      <c r="H8" s="7"/>
      <c r="I8" s="14"/>
      <c r="J8" s="17"/>
      <c r="K8" s="8"/>
    </row>
    <row r="9" spans="1:11" x14ac:dyDescent="0.25">
      <c r="A9" s="6" t="s">
        <v>153</v>
      </c>
      <c r="B9" s="7" t="str">
        <f>"m00000" &amp; TEXT(ROW() - ROW(Table2[[#Headers],[UID]]), "0;-0")</f>
        <v>m000008</v>
      </c>
      <c r="C9" s="7" t="s">
        <v>154</v>
      </c>
      <c r="D9" s="7" t="s">
        <v>162</v>
      </c>
      <c r="E9" s="7"/>
      <c r="F9" s="7" t="s">
        <v>155</v>
      </c>
      <c r="G9" s="7" t="s">
        <v>159</v>
      </c>
      <c r="H9" s="13" t="s">
        <v>161</v>
      </c>
      <c r="I9" s="14" t="s">
        <v>160</v>
      </c>
      <c r="J9" s="17" t="s">
        <v>158</v>
      </c>
      <c r="K9" s="8" t="s">
        <v>156</v>
      </c>
    </row>
    <row r="10" spans="1:11" x14ac:dyDescent="0.25">
      <c r="A10" s="6" t="s">
        <v>178</v>
      </c>
      <c r="B10" s="7" t="str">
        <f>"m00000" &amp; TEXT(ROW() - ROW(Table2[[#Headers],[UID]]), "0;-0")</f>
        <v>m000009</v>
      </c>
      <c r="C10" s="7" t="s">
        <v>180</v>
      </c>
      <c r="D10" s="7" t="s">
        <v>179</v>
      </c>
      <c r="E10" s="7"/>
      <c r="F10" s="7" t="s">
        <v>181</v>
      </c>
      <c r="G10" s="7" t="s">
        <v>182</v>
      </c>
      <c r="H10" s="7"/>
      <c r="I10" s="14"/>
      <c r="J10" s="17"/>
      <c r="K10" s="8" t="s">
        <v>183</v>
      </c>
    </row>
  </sheetData>
  <phoneticPr fontId="1" type="noConversion"/>
  <hyperlinks>
    <hyperlink ref="H7" r:id="rId1" xr:uid="{C9ED32D3-DBAA-43AD-9A4E-7FE080E5A032}"/>
    <hyperlink ref="H9" r:id="rId2" xr:uid="{DF795664-B76D-4D7C-BF90-3039B26CCFB4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0010-8426-4DA5-9D37-A1517A3A4563}">
  <dimension ref="A1:C97"/>
  <sheetViews>
    <sheetView workbookViewId="0">
      <pane ySplit="1" topLeftCell="A64" activePane="bottomLeft" state="frozen"/>
      <selection pane="bottomLeft" activeCell="F96" sqref="F96"/>
    </sheetView>
  </sheetViews>
  <sheetFormatPr defaultRowHeight="15" x14ac:dyDescent="0.25"/>
  <cols>
    <col min="1" max="1" width="11.7109375" customWidth="1"/>
    <col min="2" max="2" width="18.42578125" bestFit="1" customWidth="1"/>
    <col min="3" max="3" width="18.140625" bestFit="1" customWidth="1"/>
  </cols>
  <sheetData>
    <row r="1" spans="1:3" x14ac:dyDescent="0.25">
      <c r="A1" s="3" t="s">
        <v>100</v>
      </c>
      <c r="B1" s="4" t="s">
        <v>8</v>
      </c>
      <c r="C1" s="5" t="s">
        <v>106</v>
      </c>
    </row>
    <row r="2" spans="1:3" x14ac:dyDescent="0.25">
      <c r="A2" s="1" t="s">
        <v>77</v>
      </c>
      <c r="B2" s="10" t="s">
        <v>9</v>
      </c>
      <c r="C2" s="2"/>
    </row>
    <row r="3" spans="1:3" x14ac:dyDescent="0.25">
      <c r="A3" s="1" t="s">
        <v>77</v>
      </c>
      <c r="B3" s="10" t="s">
        <v>10</v>
      </c>
      <c r="C3" s="2"/>
    </row>
    <row r="4" spans="1:3" x14ac:dyDescent="0.25">
      <c r="A4" s="1" t="s">
        <v>77</v>
      </c>
      <c r="B4" s="10" t="s">
        <v>11</v>
      </c>
      <c r="C4" s="2"/>
    </row>
    <row r="5" spans="1:3" x14ac:dyDescent="0.25">
      <c r="A5" s="1" t="s">
        <v>77</v>
      </c>
      <c r="B5" s="10" t="s">
        <v>12</v>
      </c>
      <c r="C5" s="2"/>
    </row>
    <row r="6" spans="1:3" x14ac:dyDescent="0.25">
      <c r="A6" s="1" t="s">
        <v>77</v>
      </c>
      <c r="B6" s="10" t="s">
        <v>13</v>
      </c>
      <c r="C6" s="2"/>
    </row>
    <row r="7" spans="1:3" x14ac:dyDescent="0.25">
      <c r="A7" s="1" t="s">
        <v>77</v>
      </c>
      <c r="B7" s="10" t="s">
        <v>14</v>
      </c>
      <c r="C7" s="2"/>
    </row>
    <row r="8" spans="1:3" x14ac:dyDescent="0.25">
      <c r="A8" s="1" t="s">
        <v>77</v>
      </c>
      <c r="B8" s="10" t="s">
        <v>15</v>
      </c>
      <c r="C8" s="2"/>
    </row>
    <row r="9" spans="1:3" x14ac:dyDescent="0.25">
      <c r="A9" s="1" t="s">
        <v>77</v>
      </c>
      <c r="B9" s="10" t="s">
        <v>16</v>
      </c>
      <c r="C9" s="2"/>
    </row>
    <row r="10" spans="1:3" x14ac:dyDescent="0.25">
      <c r="A10" s="1" t="s">
        <v>77</v>
      </c>
      <c r="B10" s="10" t="s">
        <v>17</v>
      </c>
      <c r="C10" s="2"/>
    </row>
    <row r="11" spans="1:3" x14ac:dyDescent="0.25">
      <c r="A11" s="1" t="s">
        <v>77</v>
      </c>
      <c r="B11" s="10" t="s">
        <v>18</v>
      </c>
      <c r="C11" s="2"/>
    </row>
    <row r="12" spans="1:3" x14ac:dyDescent="0.25">
      <c r="A12" s="1" t="s">
        <v>77</v>
      </c>
      <c r="B12" s="10" t="s">
        <v>19</v>
      </c>
      <c r="C12" s="2"/>
    </row>
    <row r="13" spans="1:3" x14ac:dyDescent="0.25">
      <c r="A13" s="1" t="s">
        <v>78</v>
      </c>
      <c r="B13" s="10" t="s">
        <v>30</v>
      </c>
      <c r="C13" s="2"/>
    </row>
    <row r="14" spans="1:3" x14ac:dyDescent="0.25">
      <c r="A14" s="1" t="s">
        <v>78</v>
      </c>
      <c r="B14" s="10" t="s">
        <v>31</v>
      </c>
      <c r="C14" s="2"/>
    </row>
    <row r="15" spans="1:3" x14ac:dyDescent="0.25">
      <c r="A15" s="1" t="s">
        <v>78</v>
      </c>
      <c r="B15" s="10" t="s">
        <v>32</v>
      </c>
      <c r="C15" s="2"/>
    </row>
    <row r="16" spans="1:3" x14ac:dyDescent="0.25">
      <c r="A16" s="1" t="s">
        <v>78</v>
      </c>
      <c r="B16" s="10" t="s">
        <v>33</v>
      </c>
      <c r="C16" s="2"/>
    </row>
    <row r="17" spans="1:3" x14ac:dyDescent="0.25">
      <c r="A17" s="1" t="s">
        <v>78</v>
      </c>
      <c r="B17" s="10" t="s">
        <v>34</v>
      </c>
      <c r="C17" s="2"/>
    </row>
    <row r="18" spans="1:3" x14ac:dyDescent="0.25">
      <c r="A18" s="1" t="s">
        <v>78</v>
      </c>
      <c r="B18" s="10" t="s">
        <v>35</v>
      </c>
      <c r="C18" s="2"/>
    </row>
    <row r="19" spans="1:3" x14ac:dyDescent="0.25">
      <c r="A19" s="1" t="s">
        <v>78</v>
      </c>
      <c r="B19" s="10" t="s">
        <v>14</v>
      </c>
      <c r="C19" s="2"/>
    </row>
    <row r="20" spans="1:3" x14ac:dyDescent="0.25">
      <c r="A20" s="1" t="s">
        <v>78</v>
      </c>
      <c r="B20" s="10" t="s">
        <v>36</v>
      </c>
      <c r="C20" s="2"/>
    </row>
    <row r="21" spans="1:3" x14ac:dyDescent="0.25">
      <c r="A21" s="1" t="s">
        <v>79</v>
      </c>
      <c r="B21" s="10" t="s">
        <v>32</v>
      </c>
      <c r="C21" s="2"/>
    </row>
    <row r="22" spans="1:3" x14ac:dyDescent="0.25">
      <c r="A22" s="1" t="s">
        <v>79</v>
      </c>
      <c r="B22" s="10" t="s">
        <v>47</v>
      </c>
      <c r="C22" s="2"/>
    </row>
    <row r="23" spans="1:3" x14ac:dyDescent="0.25">
      <c r="A23" s="1" t="s">
        <v>79</v>
      </c>
      <c r="B23" s="10" t="s">
        <v>18</v>
      </c>
      <c r="C23" s="2"/>
    </row>
    <row r="24" spans="1:3" x14ac:dyDescent="0.25">
      <c r="A24" s="1" t="s">
        <v>79</v>
      </c>
      <c r="B24" s="10" t="s">
        <v>48</v>
      </c>
      <c r="C24" s="2"/>
    </row>
    <row r="25" spans="1:3" x14ac:dyDescent="0.25">
      <c r="A25" s="1" t="s">
        <v>79</v>
      </c>
      <c r="B25" s="10" t="s">
        <v>49</v>
      </c>
      <c r="C25" s="2"/>
    </row>
    <row r="26" spans="1:3" x14ac:dyDescent="0.25">
      <c r="A26" s="1" t="s">
        <v>79</v>
      </c>
      <c r="B26" s="10" t="s">
        <v>50</v>
      </c>
      <c r="C26" s="2"/>
    </row>
    <row r="27" spans="1:3" x14ac:dyDescent="0.25">
      <c r="A27" s="1" t="s">
        <v>79</v>
      </c>
      <c r="B27" s="10" t="s">
        <v>51</v>
      </c>
      <c r="C27" s="2"/>
    </row>
    <row r="28" spans="1:3" x14ac:dyDescent="0.25">
      <c r="A28" s="1" t="s">
        <v>79</v>
      </c>
      <c r="B28" s="10" t="s">
        <v>52</v>
      </c>
      <c r="C28" s="2"/>
    </row>
    <row r="29" spans="1:3" x14ac:dyDescent="0.25">
      <c r="A29" s="1" t="s">
        <v>79</v>
      </c>
      <c r="B29" s="10" t="s">
        <v>53</v>
      </c>
      <c r="C29" s="2"/>
    </row>
    <row r="30" spans="1:3" x14ac:dyDescent="0.25">
      <c r="A30" s="1" t="s">
        <v>79</v>
      </c>
      <c r="B30" s="10" t="s">
        <v>54</v>
      </c>
      <c r="C30" s="2"/>
    </row>
    <row r="31" spans="1:3" x14ac:dyDescent="0.25">
      <c r="A31" s="1" t="s">
        <v>79</v>
      </c>
      <c r="B31" s="10" t="s">
        <v>55</v>
      </c>
      <c r="C31" s="2"/>
    </row>
    <row r="32" spans="1:3" x14ac:dyDescent="0.25">
      <c r="A32" s="1" t="s">
        <v>79</v>
      </c>
      <c r="B32" s="10" t="s">
        <v>34</v>
      </c>
      <c r="C32" s="2"/>
    </row>
    <row r="33" spans="1:3" x14ac:dyDescent="0.25">
      <c r="A33" s="1" t="s">
        <v>79</v>
      </c>
      <c r="B33" s="10" t="s">
        <v>56</v>
      </c>
      <c r="C33" s="2"/>
    </row>
    <row r="34" spans="1:3" x14ac:dyDescent="0.25">
      <c r="A34" s="1" t="s">
        <v>79</v>
      </c>
      <c r="B34" s="10" t="s">
        <v>57</v>
      </c>
      <c r="C34" s="2"/>
    </row>
    <row r="35" spans="1:3" x14ac:dyDescent="0.25">
      <c r="A35" s="1" t="s">
        <v>79</v>
      </c>
      <c r="B35" s="10" t="s">
        <v>58</v>
      </c>
      <c r="C35" s="2"/>
    </row>
    <row r="36" spans="1:3" x14ac:dyDescent="0.25">
      <c r="A36" s="1" t="s">
        <v>79</v>
      </c>
      <c r="B36" s="10" t="s">
        <v>59</v>
      </c>
      <c r="C36" s="2"/>
    </row>
    <row r="37" spans="1:3" x14ac:dyDescent="0.25">
      <c r="A37" s="1" t="s">
        <v>79</v>
      </c>
      <c r="B37" s="10" t="s">
        <v>60</v>
      </c>
      <c r="C37" s="2"/>
    </row>
    <row r="38" spans="1:3" x14ac:dyDescent="0.25">
      <c r="A38" s="1" t="s">
        <v>79</v>
      </c>
      <c r="B38" s="10" t="s">
        <v>61</v>
      </c>
      <c r="C38" s="2"/>
    </row>
    <row r="39" spans="1:3" x14ac:dyDescent="0.25">
      <c r="A39" s="1" t="s">
        <v>79</v>
      </c>
      <c r="B39" s="10" t="s">
        <v>62</v>
      </c>
      <c r="C39" s="2"/>
    </row>
    <row r="40" spans="1:3" x14ac:dyDescent="0.25">
      <c r="A40" s="1" t="s">
        <v>79</v>
      </c>
      <c r="B40" s="10" t="s">
        <v>63</v>
      </c>
      <c r="C40" s="2"/>
    </row>
    <row r="41" spans="1:3" x14ac:dyDescent="0.25">
      <c r="A41" s="1" t="s">
        <v>79</v>
      </c>
      <c r="B41" s="10" t="s">
        <v>36</v>
      </c>
      <c r="C41" s="2"/>
    </row>
    <row r="42" spans="1:3" x14ac:dyDescent="0.25">
      <c r="A42" s="1" t="s">
        <v>79</v>
      </c>
      <c r="B42" s="10" t="s">
        <v>64</v>
      </c>
      <c r="C42" s="2"/>
    </row>
    <row r="43" spans="1:3" x14ac:dyDescent="0.25">
      <c r="A43" s="1" t="s">
        <v>79</v>
      </c>
      <c r="B43" s="10" t="s">
        <v>65</v>
      </c>
      <c r="C43" s="2"/>
    </row>
    <row r="44" spans="1:3" x14ac:dyDescent="0.25">
      <c r="A44" s="1" t="s">
        <v>79</v>
      </c>
      <c r="B44" s="10" t="s">
        <v>66</v>
      </c>
      <c r="C44" s="2"/>
    </row>
    <row r="45" spans="1:3" x14ac:dyDescent="0.25">
      <c r="A45" s="1" t="s">
        <v>79</v>
      </c>
      <c r="B45" s="10" t="s">
        <v>67</v>
      </c>
      <c r="C45" s="2"/>
    </row>
    <row r="46" spans="1:3" x14ac:dyDescent="0.25">
      <c r="A46" s="1" t="s">
        <v>80</v>
      </c>
      <c r="B46" s="10" t="s">
        <v>9</v>
      </c>
      <c r="C46" s="2"/>
    </row>
    <row r="47" spans="1:3" x14ac:dyDescent="0.25">
      <c r="A47" s="1" t="s">
        <v>80</v>
      </c>
      <c r="B47" s="10" t="s">
        <v>81</v>
      </c>
      <c r="C47" s="2"/>
    </row>
    <row r="48" spans="1:3" x14ac:dyDescent="0.25">
      <c r="A48" s="1" t="s">
        <v>80</v>
      </c>
      <c r="B48" s="10" t="s">
        <v>82</v>
      </c>
      <c r="C48" s="2"/>
    </row>
    <row r="49" spans="1:3" x14ac:dyDescent="0.25">
      <c r="A49" s="1" t="s">
        <v>80</v>
      </c>
      <c r="B49" s="10" t="s">
        <v>83</v>
      </c>
      <c r="C49" s="2"/>
    </row>
    <row r="50" spans="1:3" x14ac:dyDescent="0.25">
      <c r="A50" s="1" t="s">
        <v>80</v>
      </c>
      <c r="B50" s="10" t="s">
        <v>84</v>
      </c>
      <c r="C50" s="2"/>
    </row>
    <row r="51" spans="1:3" x14ac:dyDescent="0.25">
      <c r="A51" s="1" t="s">
        <v>80</v>
      </c>
      <c r="B51" s="10" t="s">
        <v>85</v>
      </c>
      <c r="C51" s="2"/>
    </row>
    <row r="52" spans="1:3" x14ac:dyDescent="0.25">
      <c r="A52" s="1" t="s">
        <v>80</v>
      </c>
      <c r="B52" s="10" t="s">
        <v>86</v>
      </c>
      <c r="C52" s="2"/>
    </row>
    <row r="53" spans="1:3" x14ac:dyDescent="0.25">
      <c r="A53" s="1" t="s">
        <v>80</v>
      </c>
      <c r="B53" s="10" t="s">
        <v>51</v>
      </c>
      <c r="C53" s="2"/>
    </row>
    <row r="54" spans="1:3" x14ac:dyDescent="0.25">
      <c r="A54" s="1" t="s">
        <v>80</v>
      </c>
      <c r="B54" s="10" t="s">
        <v>87</v>
      </c>
      <c r="C54" s="2"/>
    </row>
    <row r="55" spans="1:3" x14ac:dyDescent="0.25">
      <c r="A55" s="1" t="s">
        <v>89</v>
      </c>
      <c r="B55" s="10" t="s">
        <v>95</v>
      </c>
      <c r="C55" s="2"/>
    </row>
    <row r="56" spans="1:3" x14ac:dyDescent="0.25">
      <c r="A56" s="1" t="s">
        <v>89</v>
      </c>
      <c r="B56" s="10" t="s">
        <v>96</v>
      </c>
      <c r="C56" s="2"/>
    </row>
    <row r="57" spans="1:3" x14ac:dyDescent="0.25">
      <c r="A57" s="1" t="s">
        <v>89</v>
      </c>
      <c r="B57" s="10" t="s">
        <v>97</v>
      </c>
      <c r="C57" s="2"/>
    </row>
    <row r="58" spans="1:3" x14ac:dyDescent="0.25">
      <c r="A58" s="1" t="s">
        <v>89</v>
      </c>
      <c r="B58" s="10" t="s">
        <v>81</v>
      </c>
      <c r="C58" s="2"/>
    </row>
    <row r="59" spans="1:3" x14ac:dyDescent="0.25">
      <c r="A59" s="1" t="s">
        <v>89</v>
      </c>
      <c r="B59" s="10" t="s">
        <v>98</v>
      </c>
      <c r="C59" s="2"/>
    </row>
    <row r="60" spans="1:3" x14ac:dyDescent="0.25">
      <c r="A60" s="6" t="s">
        <v>89</v>
      </c>
      <c r="B60" s="7" t="s">
        <v>99</v>
      </c>
      <c r="C60" s="8"/>
    </row>
    <row r="61" spans="1:3" x14ac:dyDescent="0.25">
      <c r="A61" s="6" t="s">
        <v>107</v>
      </c>
      <c r="B61" s="7" t="s">
        <v>108</v>
      </c>
      <c r="C61" s="8" t="s">
        <v>120</v>
      </c>
    </row>
    <row r="62" spans="1:3" x14ac:dyDescent="0.25">
      <c r="A62" s="6" t="s">
        <v>107</v>
      </c>
      <c r="B62" s="7" t="s">
        <v>109</v>
      </c>
      <c r="C62" s="8" t="s">
        <v>121</v>
      </c>
    </row>
    <row r="63" spans="1:3" x14ac:dyDescent="0.25">
      <c r="A63" s="6" t="s">
        <v>107</v>
      </c>
      <c r="B63" s="7" t="s">
        <v>110</v>
      </c>
      <c r="C63" s="8" t="s">
        <v>122</v>
      </c>
    </row>
    <row r="64" spans="1:3" x14ac:dyDescent="0.25">
      <c r="A64" s="6" t="s">
        <v>107</v>
      </c>
      <c r="B64" s="7" t="s">
        <v>111</v>
      </c>
      <c r="C64" s="8" t="s">
        <v>123</v>
      </c>
    </row>
    <row r="65" spans="1:3" x14ac:dyDescent="0.25">
      <c r="A65" s="6" t="s">
        <v>107</v>
      </c>
      <c r="B65" s="7" t="s">
        <v>112</v>
      </c>
      <c r="C65" s="8" t="s">
        <v>124</v>
      </c>
    </row>
    <row r="66" spans="1:3" x14ac:dyDescent="0.25">
      <c r="A66" s="6" t="s">
        <v>107</v>
      </c>
      <c r="B66" s="7" t="s">
        <v>113</v>
      </c>
      <c r="C66" s="8" t="s">
        <v>125</v>
      </c>
    </row>
    <row r="67" spans="1:3" x14ac:dyDescent="0.25">
      <c r="A67" s="6" t="s">
        <v>107</v>
      </c>
      <c r="B67" s="7" t="s">
        <v>114</v>
      </c>
      <c r="C67" s="8" t="s">
        <v>126</v>
      </c>
    </row>
    <row r="68" spans="1:3" x14ac:dyDescent="0.25">
      <c r="A68" s="6" t="s">
        <v>107</v>
      </c>
      <c r="B68" s="7" t="s">
        <v>14</v>
      </c>
      <c r="C68" s="8" t="s">
        <v>127</v>
      </c>
    </row>
    <row r="69" spans="1:3" x14ac:dyDescent="0.25">
      <c r="A69" s="6" t="s">
        <v>107</v>
      </c>
      <c r="B69" s="7" t="s">
        <v>115</v>
      </c>
      <c r="C69" s="8" t="s">
        <v>128</v>
      </c>
    </row>
    <row r="70" spans="1:3" x14ac:dyDescent="0.25">
      <c r="A70" s="6" t="s">
        <v>107</v>
      </c>
      <c r="B70" s="7" t="s">
        <v>116</v>
      </c>
      <c r="C70" s="8" t="s">
        <v>129</v>
      </c>
    </row>
    <row r="71" spans="1:3" x14ac:dyDescent="0.25">
      <c r="A71" s="6" t="s">
        <v>107</v>
      </c>
      <c r="B71" s="7" t="s">
        <v>117</v>
      </c>
      <c r="C71" s="8" t="s">
        <v>130</v>
      </c>
    </row>
    <row r="72" spans="1:3" x14ac:dyDescent="0.25">
      <c r="A72" s="6" t="s">
        <v>107</v>
      </c>
      <c r="B72" s="7" t="s">
        <v>118</v>
      </c>
      <c r="C72" s="8" t="s">
        <v>131</v>
      </c>
    </row>
    <row r="73" spans="1:3" x14ac:dyDescent="0.25">
      <c r="A73" s="6" t="s">
        <v>107</v>
      </c>
      <c r="B73" s="7" t="s">
        <v>119</v>
      </c>
      <c r="C73" s="8" t="s">
        <v>132</v>
      </c>
    </row>
    <row r="74" spans="1:3" x14ac:dyDescent="0.25">
      <c r="A74" s="6" t="s">
        <v>143</v>
      </c>
      <c r="B74" s="7" t="s">
        <v>144</v>
      </c>
      <c r="C74" s="8"/>
    </row>
    <row r="75" spans="1:3" x14ac:dyDescent="0.25">
      <c r="A75" s="6" t="s">
        <v>143</v>
      </c>
      <c r="B75" s="7" t="s">
        <v>145</v>
      </c>
      <c r="C75" s="8"/>
    </row>
    <row r="76" spans="1:3" x14ac:dyDescent="0.25">
      <c r="A76" s="6" t="s">
        <v>143</v>
      </c>
      <c r="B76" s="7" t="s">
        <v>146</v>
      </c>
      <c r="C76" s="8"/>
    </row>
    <row r="77" spans="1:3" x14ac:dyDescent="0.25">
      <c r="A77" s="6" t="s">
        <v>143</v>
      </c>
      <c r="B77" s="7" t="s">
        <v>147</v>
      </c>
      <c r="C77" s="8"/>
    </row>
    <row r="78" spans="1:3" x14ac:dyDescent="0.25">
      <c r="A78" s="6" t="s">
        <v>143</v>
      </c>
      <c r="B78" s="7" t="s">
        <v>148</v>
      </c>
      <c r="C78" s="8"/>
    </row>
    <row r="79" spans="1:3" x14ac:dyDescent="0.25">
      <c r="A79" s="6" t="s">
        <v>143</v>
      </c>
      <c r="B79" s="7" t="s">
        <v>149</v>
      </c>
      <c r="C79" s="8"/>
    </row>
    <row r="80" spans="1:3" x14ac:dyDescent="0.25">
      <c r="A80" s="6" t="s">
        <v>143</v>
      </c>
      <c r="B80" s="7" t="s">
        <v>61</v>
      </c>
      <c r="C80" s="8"/>
    </row>
    <row r="81" spans="1:3" x14ac:dyDescent="0.25">
      <c r="A81" s="6" t="s">
        <v>168</v>
      </c>
      <c r="B81" s="7" t="s">
        <v>169</v>
      </c>
      <c r="C81" s="8"/>
    </row>
    <row r="82" spans="1:3" x14ac:dyDescent="0.25">
      <c r="A82" s="6" t="s">
        <v>168</v>
      </c>
      <c r="B82" s="7" t="s">
        <v>170</v>
      </c>
      <c r="C82" s="8"/>
    </row>
    <row r="83" spans="1:3" x14ac:dyDescent="0.25">
      <c r="A83" s="6" t="s">
        <v>168</v>
      </c>
      <c r="B83" s="7" t="s">
        <v>171</v>
      </c>
      <c r="C83" s="8" t="s">
        <v>172</v>
      </c>
    </row>
    <row r="84" spans="1:3" x14ac:dyDescent="0.25">
      <c r="A84" s="6" t="s">
        <v>168</v>
      </c>
      <c r="B84" s="7" t="s">
        <v>61</v>
      </c>
      <c r="C84" s="8"/>
    </row>
    <row r="85" spans="1:3" x14ac:dyDescent="0.25">
      <c r="A85" s="6" t="s">
        <v>168</v>
      </c>
      <c r="B85" s="7" t="s">
        <v>36</v>
      </c>
      <c r="C85" s="8"/>
    </row>
    <row r="86" spans="1:3" x14ac:dyDescent="0.25">
      <c r="A86" s="6" t="s">
        <v>168</v>
      </c>
      <c r="B86" s="7" t="s">
        <v>173</v>
      </c>
      <c r="C86" s="8"/>
    </row>
    <row r="87" spans="1:3" x14ac:dyDescent="0.25">
      <c r="A87" s="6" t="s">
        <v>184</v>
      </c>
      <c r="B87" s="7" t="s">
        <v>30</v>
      </c>
      <c r="C87" s="8"/>
    </row>
    <row r="88" spans="1:3" x14ac:dyDescent="0.25">
      <c r="A88" s="6" t="s">
        <v>184</v>
      </c>
      <c r="B88" s="7" t="s">
        <v>185</v>
      </c>
      <c r="C88" s="8"/>
    </row>
    <row r="89" spans="1:3" x14ac:dyDescent="0.25">
      <c r="A89" s="6" t="s">
        <v>184</v>
      </c>
      <c r="B89" s="7" t="s">
        <v>32</v>
      </c>
      <c r="C89" s="8"/>
    </row>
    <row r="90" spans="1:3" x14ac:dyDescent="0.25">
      <c r="A90" s="6" t="s">
        <v>184</v>
      </c>
      <c r="B90" s="7" t="s">
        <v>53</v>
      </c>
      <c r="C90" s="8"/>
    </row>
    <row r="91" spans="1:3" x14ac:dyDescent="0.25">
      <c r="A91" s="6" t="s">
        <v>184</v>
      </c>
      <c r="B91" s="7" t="s">
        <v>51</v>
      </c>
      <c r="C91" s="8"/>
    </row>
    <row r="92" spans="1:3" x14ac:dyDescent="0.25">
      <c r="A92" s="6" t="s">
        <v>184</v>
      </c>
      <c r="B92" s="7" t="s">
        <v>186</v>
      </c>
      <c r="C92" s="8"/>
    </row>
    <row r="93" spans="1:3" x14ac:dyDescent="0.25">
      <c r="A93" s="6" t="s">
        <v>184</v>
      </c>
      <c r="B93" s="7" t="s">
        <v>187</v>
      </c>
      <c r="C93" s="8"/>
    </row>
    <row r="94" spans="1:3" x14ac:dyDescent="0.25">
      <c r="A94" s="6" t="s">
        <v>184</v>
      </c>
      <c r="B94" s="7" t="s">
        <v>62</v>
      </c>
      <c r="C94" s="8"/>
    </row>
    <row r="95" spans="1:3" x14ac:dyDescent="0.25">
      <c r="A95" s="6" t="s">
        <v>184</v>
      </c>
      <c r="B95" s="7" t="s">
        <v>188</v>
      </c>
      <c r="C95" s="8"/>
    </row>
    <row r="96" spans="1:3" x14ac:dyDescent="0.25">
      <c r="A96" s="6" t="s">
        <v>184</v>
      </c>
      <c r="B96" s="7" t="s">
        <v>59</v>
      </c>
      <c r="C96" s="8"/>
    </row>
    <row r="97" spans="1:3" x14ac:dyDescent="0.25">
      <c r="A97" s="6" t="s">
        <v>184</v>
      </c>
      <c r="B97" s="7" t="s">
        <v>36</v>
      </c>
      <c r="C97" s="8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662C-692A-4A45-AA4F-75A27046A9CD}">
  <dimension ref="A1:B7"/>
  <sheetViews>
    <sheetView workbookViewId="0">
      <selection activeCell="A7" sqref="A7"/>
    </sheetView>
  </sheetViews>
  <sheetFormatPr defaultRowHeight="15" x14ac:dyDescent="0.25"/>
  <cols>
    <col min="1" max="1" width="11.7109375" customWidth="1"/>
  </cols>
  <sheetData>
    <row r="1" spans="1:2" x14ac:dyDescent="0.25">
      <c r="A1" s="3" t="s">
        <v>100</v>
      </c>
      <c r="B1" s="5" t="s">
        <v>40</v>
      </c>
    </row>
    <row r="2" spans="1:2" x14ac:dyDescent="0.25">
      <c r="A2" s="6" t="s">
        <v>79</v>
      </c>
      <c r="B2" s="8" t="s">
        <v>42</v>
      </c>
    </row>
    <row r="3" spans="1:2" x14ac:dyDescent="0.25">
      <c r="A3" s="6" t="s">
        <v>79</v>
      </c>
      <c r="B3" s="8" t="s">
        <v>43</v>
      </c>
    </row>
    <row r="4" spans="1:2" x14ac:dyDescent="0.25">
      <c r="A4" s="6" t="s">
        <v>143</v>
      </c>
      <c r="B4" s="8" t="s">
        <v>150</v>
      </c>
    </row>
    <row r="5" spans="1:2" x14ac:dyDescent="0.25">
      <c r="A5" s="6" t="s">
        <v>143</v>
      </c>
      <c r="B5" s="8" t="s">
        <v>151</v>
      </c>
    </row>
    <row r="6" spans="1:2" x14ac:dyDescent="0.25">
      <c r="A6" s="18" t="s">
        <v>168</v>
      </c>
      <c r="B6" s="19" t="s">
        <v>174</v>
      </c>
    </row>
    <row r="7" spans="1:2" x14ac:dyDescent="0.25">
      <c r="A7" s="18" t="s">
        <v>168</v>
      </c>
      <c r="B7" s="19" t="s">
        <v>175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61E6-D3C1-47E8-B2E1-3DBA27FAE247}">
  <dimension ref="A1:B8"/>
  <sheetViews>
    <sheetView workbookViewId="0">
      <selection activeCell="A9" sqref="A9"/>
    </sheetView>
  </sheetViews>
  <sheetFormatPr defaultRowHeight="15" x14ac:dyDescent="0.25"/>
  <cols>
    <col min="1" max="1" width="11.7109375" customWidth="1"/>
    <col min="2" max="2" width="55.7109375" customWidth="1"/>
  </cols>
  <sheetData>
    <row r="1" spans="1:2" x14ac:dyDescent="0.25">
      <c r="A1" s="3" t="s">
        <v>100</v>
      </c>
      <c r="B1" s="5" t="s">
        <v>41</v>
      </c>
    </row>
    <row r="2" spans="1:2" x14ac:dyDescent="0.25">
      <c r="A2" s="6" t="s">
        <v>79</v>
      </c>
      <c r="B2" s="8" t="s">
        <v>44</v>
      </c>
    </row>
    <row r="3" spans="1:2" x14ac:dyDescent="0.25">
      <c r="A3" s="6" t="s">
        <v>79</v>
      </c>
      <c r="B3" s="8" t="s">
        <v>45</v>
      </c>
    </row>
    <row r="4" spans="1:2" x14ac:dyDescent="0.25">
      <c r="A4" s="6" t="s">
        <v>79</v>
      </c>
      <c r="B4" s="8" t="s">
        <v>46</v>
      </c>
    </row>
    <row r="5" spans="1:2" x14ac:dyDescent="0.25">
      <c r="A5" s="6" t="s">
        <v>143</v>
      </c>
      <c r="B5" s="8" t="s">
        <v>152</v>
      </c>
    </row>
    <row r="6" spans="1:2" x14ac:dyDescent="0.25">
      <c r="A6" s="18" t="s">
        <v>168</v>
      </c>
      <c r="B6" s="19" t="s">
        <v>176</v>
      </c>
    </row>
    <row r="7" spans="1:2" x14ac:dyDescent="0.25">
      <c r="A7" s="18" t="s">
        <v>168</v>
      </c>
      <c r="B7" s="19" t="s">
        <v>177</v>
      </c>
    </row>
    <row r="8" spans="1:2" x14ac:dyDescent="0.25">
      <c r="A8" s="18" t="s">
        <v>184</v>
      </c>
      <c r="B8" s="19" t="s">
        <v>189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1-namelist</vt:lpstr>
      <vt:lpstr>2-component</vt:lpstr>
      <vt:lpstr>3-function</vt:lpstr>
      <vt:lpstr>4-usedfor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2026-04-22T11:23:45Z</dcterms:created>
  <dcterms:modified xsi:type="dcterms:W3CDTF">2026-04-25T00:43:34Z</dcterms:modified>
</cp:coreProperties>
</file>