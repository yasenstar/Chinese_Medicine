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hinese_Medicine\CM_Ref\"/>
    </mc:Choice>
  </mc:AlternateContent>
  <xr:revisionPtr revIDLastSave="0" documentId="13_ncr:9_{81BAEAD5-7EB9-4D76-AEFC-681916D1333B}" xr6:coauthVersionLast="47" xr6:coauthVersionMax="47" xr10:uidLastSave="{00000000-0000-0000-0000-000000000000}"/>
  <bookViews>
    <workbookView xWindow="14303" yWindow="-9998" windowWidth="28995" windowHeight="17476" activeTab="3" xr2:uid="{FCBB9041-7F32-418A-9A6B-AB2AB6A56C91}"/>
  </bookViews>
  <sheets>
    <sheet name="1-namelist" sheetId="1" r:id="rId1"/>
    <sheet name="2-component" sheetId="2" r:id="rId2"/>
    <sheet name="3-function" sheetId="3" r:id="rId3"/>
    <sheet name="4-usedf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</calcChain>
</file>

<file path=xl/sharedStrings.xml><?xml version="1.0" encoding="utf-8"?>
<sst xmlns="http://schemas.openxmlformats.org/spreadsheetml/2006/main" count="170" uniqueCount="101">
  <si>
    <t>药品名称</t>
  </si>
  <si>
    <t>品牌</t>
  </si>
  <si>
    <t>红贴</t>
  </si>
  <si>
    <t>楚院士</t>
  </si>
  <si>
    <t>生产商</t>
  </si>
  <si>
    <t>河南苗弘堂生物科技有限公司</t>
  </si>
  <si>
    <t>执行标准</t>
  </si>
  <si>
    <t>Q/HMHT 002-2023</t>
  </si>
  <si>
    <t>成分</t>
  </si>
  <si>
    <t>艾叶</t>
  </si>
  <si>
    <t>肉桂</t>
  </si>
  <si>
    <t>生姜</t>
  </si>
  <si>
    <t>丁香</t>
  </si>
  <si>
    <t>荆芥</t>
  </si>
  <si>
    <t>薄荷</t>
  </si>
  <si>
    <t>蒲公英</t>
  </si>
  <si>
    <t>花椒</t>
  </si>
  <si>
    <t>山奈</t>
  </si>
  <si>
    <t>白芷</t>
  </si>
  <si>
    <t>老鹳草</t>
  </si>
  <si>
    <t>老黑膏</t>
  </si>
  <si>
    <t>江西龙源医疗用品有限公司</t>
  </si>
  <si>
    <t>生产商地址</t>
  </si>
  <si>
    <t>河南省周口市淮阳区腾飞路与106国道交叉口南300米路东</t>
  </si>
  <si>
    <t>生产商电话</t>
  </si>
  <si>
    <t>4000051608</t>
  </si>
  <si>
    <t>4000041168</t>
  </si>
  <si>
    <t>Q/JXLY 048-2025</t>
  </si>
  <si>
    <t>江西省南昌市青山湖区罗家镇胡坊村898号</t>
  </si>
  <si>
    <t>嗬杺</t>
  </si>
  <si>
    <t>艾草</t>
  </si>
  <si>
    <t>党参</t>
  </si>
  <si>
    <t>三七</t>
  </si>
  <si>
    <t>杏仁</t>
  </si>
  <si>
    <t>当归</t>
  </si>
  <si>
    <t>茯苓</t>
  </si>
  <si>
    <t>冰片</t>
  </si>
  <si>
    <t>神农镇痛膏</t>
  </si>
  <si>
    <t>燕舞药业</t>
  </si>
  <si>
    <t>黄石燕舞药业有限公司</t>
  </si>
  <si>
    <t>功能</t>
  </si>
  <si>
    <t>主治</t>
  </si>
  <si>
    <t>活血散瘀</t>
  </si>
  <si>
    <t>消肿止痛</t>
  </si>
  <si>
    <t>跌打损伤</t>
  </si>
  <si>
    <t>风湿关节痛</t>
  </si>
  <si>
    <t>腰背酸痛</t>
  </si>
  <si>
    <t>胆南星</t>
  </si>
  <si>
    <t>狗脊</t>
  </si>
  <si>
    <t>羌活</t>
  </si>
  <si>
    <t>石菖蒲</t>
  </si>
  <si>
    <t>防风</t>
  </si>
  <si>
    <t>升麻</t>
  </si>
  <si>
    <t>红花</t>
  </si>
  <si>
    <t>土鳖虫</t>
  </si>
  <si>
    <t>川芎</t>
  </si>
  <si>
    <t>血竭</t>
  </si>
  <si>
    <t>马钱子</t>
  </si>
  <si>
    <t>没药</t>
  </si>
  <si>
    <t>樟脑</t>
  </si>
  <si>
    <t>重楼</t>
  </si>
  <si>
    <t>薄荷脑</t>
  </si>
  <si>
    <t>乳香</t>
  </si>
  <si>
    <t>水杨酸甲酯</t>
  </si>
  <si>
    <t>丁香罗勒油</t>
  </si>
  <si>
    <t>人工麝香</t>
  </si>
  <si>
    <t>颠茄流浸膏</t>
  </si>
  <si>
    <t>熊胆粉</t>
  </si>
  <si>
    <t>YBZ01132008</t>
  </si>
  <si>
    <t>湖北省黄石经济技术开发区王圣大道东108号</t>
  </si>
  <si>
    <t>0714-3298603</t>
  </si>
  <si>
    <t>拇指外翻贴</t>
  </si>
  <si>
    <t>天成藏药</t>
  </si>
  <si>
    <t>林奈生物-南阳零一众合药业有限公司</t>
  </si>
  <si>
    <t>河南省南阳市卧龙区七里园乡杜诗路冯楼艾草产业园19号</t>
  </si>
  <si>
    <t>Q/NLYZH 503-2025</t>
  </si>
  <si>
    <t>UID</t>
  </si>
  <si>
    <t>m000001</t>
  </si>
  <si>
    <t>m000002</t>
  </si>
  <si>
    <t>m000003</t>
  </si>
  <si>
    <t>m000004</t>
  </si>
  <si>
    <t>桂枝</t>
  </si>
  <si>
    <t>炒白术</t>
  </si>
  <si>
    <t>炙甘草</t>
  </si>
  <si>
    <t>麻黄</t>
  </si>
  <si>
    <t>细辛</t>
  </si>
  <si>
    <t>薏苡仁</t>
  </si>
  <si>
    <t>知母</t>
  </si>
  <si>
    <t>氨糖软骨素姜黄热敷护膝宝</t>
  </si>
  <si>
    <t>m000005</t>
  </si>
  <si>
    <t>同仁堂</t>
  </si>
  <si>
    <t>北京同仁堂兴安保健科技有限责任公司</t>
  </si>
  <si>
    <t>北京同仁堂兴安保健科技有限责任公司大兴分公司</t>
  </si>
  <si>
    <t>4006331058</t>
  </si>
  <si>
    <t>Q/TRTDX 0108</t>
  </si>
  <si>
    <t>氨基葡萄糖盐酸盐</t>
  </si>
  <si>
    <t>硫酸软骨素钠</t>
  </si>
  <si>
    <t>生姜粉</t>
  </si>
  <si>
    <t>忍冬藤</t>
  </si>
  <si>
    <t>姜黄</t>
  </si>
  <si>
    <t>药品ID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</si>
</sst>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0" fillId="0" borderId="5" xfId="0" applyNumberFormat="1" applyBorder="1"/>
    <xf numFmtId="49" fontId="0" fillId="0" borderId="8" xfId="0" applyNumberFormat="1" applyBorder="1"/>
    <xf numFmtId="49" fontId="0" fillId="0" borderId="0" xfId="0" applyNumberFormat="1"/>
    <xf numFmtId="0" fontId="0" fillId="0" borderId="5" xfId="0" applyFill="1" applyBorder="1"/>
    <xf numFmtId="0" fontId="0" fillId="0" borderId="6" xfId="0" applyFont="1" applyFill="1" applyBorder="1"/>
    <xf numFmtId="0" fontId="0" fillId="0" borderId="8" xfId="0" applyFill="1" applyBorder="1"/>
  </cellXfs>
  <cellStyles count="1">
    <cellStyle name="Normal" xfId="0" builtinId="0"/>
  </cellStyles>
  <dxfs count="31">
    <dxf>
      <border diagonalUp="0" diagonalDown="0" outline="0">
        <left/>
        <right/>
        <top style="thin">
          <color indexed="64"/>
        </top>
        <bottom/>
      </border>
    </dxf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7DDAFC75-7388-4BB0-A6FF-1C3128B300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91243D-01EB-417B-A545-8F66A0029A2F}" name="Table2" displayName="Table2" ref="A1:G6" totalsRowShown="0" headerRowDxfId="10" headerRowBorderDxfId="8" tableBorderDxfId="9" totalsRowBorderDxfId="7">
  <autoFilter ref="A1:G6" xr:uid="{2091243D-01EB-417B-A545-8F66A0029A2F}"/>
  <tableColumns count="7">
    <tableColumn id="1" xr3:uid="{70404F4C-EA74-419B-B8F7-C0E749DBA8EF}" name="药品名称" dataDxfId="6"/>
    <tableColumn id="7" xr3:uid="{A127C5AC-1A8D-4194-B82B-CEA8C46568A9}" name="UID" dataDxfId="5">
      <calculatedColumnFormula>"m00000" &amp; TEXT(ROW() - ROW(Table2[[#Headers],[UID]]), "0;-0")</calculatedColumnFormula>
    </tableColumn>
    <tableColumn id="2" xr3:uid="{745BAE8D-3E74-492D-9F1F-A46F418B7407}" name="品牌" dataDxfId="4"/>
    <tableColumn id="3" xr3:uid="{21E7B030-7D6F-4754-8BAA-1C33EF145001}" name="生产商" dataDxfId="3"/>
    <tableColumn id="5" xr3:uid="{76794CF7-5E96-4BA4-A111-0F4FB586AAEB}" name="生产商地址" dataDxfId="2"/>
    <tableColumn id="6" xr3:uid="{098A7009-4AD7-411F-A1F5-1CE1E004D519}" name="生产商电话" dataDxfId="1"/>
    <tableColumn id="4" xr3:uid="{2B5D44FA-F4F3-4890-8993-4D8C1FD7AA21}" name="执行标准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ED46AD-AD3A-4EEB-8896-42FDC45797B6}" name="Table3" displayName="Table3" ref="A1:B60" totalsRowShown="0" headerRowDxfId="25" headerRowBorderDxfId="29" tableBorderDxfId="30" totalsRowBorderDxfId="28">
  <autoFilter ref="A1:B60" xr:uid="{14ED46AD-AD3A-4EEB-8896-42FDC45797B6}"/>
  <tableColumns count="2">
    <tableColumn id="1" xr3:uid="{9CBDF56B-3BCD-4FF2-8195-561FA1F4C31A}" name="药品ID" dataDxfId="27"/>
    <tableColumn id="2" xr3:uid="{77270F8D-0C55-4EBC-B9E0-6E3C41859F9D}" name="成分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49AA06-1ABA-4D07-85FE-0008DCD2BD44}" name="Table5" displayName="Table5" ref="A1:B3" totalsRowShown="0" headerRowDxfId="16" dataDxfId="15" headerRowBorderDxfId="20" tableBorderDxfId="21" totalsRowBorderDxfId="19">
  <autoFilter ref="A1:B3" xr:uid="{CA49AA06-1ABA-4D07-85FE-0008DCD2BD44}"/>
  <tableColumns count="2">
    <tableColumn id="1" xr3:uid="{B8626E94-0403-419E-8E68-71E33A149F5F}" name="药品ID" dataDxfId="18"/>
    <tableColumn id="2" xr3:uid="{69B649F7-4B8F-4BD8-8C6B-CA5943FF7F38}" name="功能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9167B2-548D-49FA-94EE-4B29E8917423}" name="Table4" displayName="Table4" ref="A1:B4" totalsRowShown="0" headerRowDxfId="12" dataDxfId="11" headerRowBorderDxfId="23" tableBorderDxfId="24" totalsRowBorderDxfId="22">
  <autoFilter ref="A1:B4" xr:uid="{959167B2-548D-49FA-94EE-4B29E8917423}"/>
  <tableColumns count="2">
    <tableColumn id="1" xr3:uid="{B3E95E7E-96F3-4FFA-B777-46887DE69A33}" name="药品ID" dataDxfId="14"/>
    <tableColumn id="2" xr3:uid="{65C8285F-658B-48F3-A03C-C101895E22EF}" name="主治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E823-9BD2-43CB-A179-B4CF5CB62E6F}">
  <dimension ref="A1:G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G6"/>
    </sheetView>
  </sheetViews>
  <sheetFormatPr defaultRowHeight="15" x14ac:dyDescent="0.25"/>
  <cols>
    <col min="1" max="1" width="27.28515625" bestFit="1" customWidth="1"/>
    <col min="2" max="2" width="11.85546875" customWidth="1"/>
    <col min="3" max="3" width="9.5703125" bestFit="1" customWidth="1"/>
    <col min="4" max="4" width="29.42578125" bestFit="1" customWidth="1"/>
    <col min="5" max="5" width="55.7109375" bestFit="1" customWidth="1"/>
    <col min="6" max="6" width="14" style="12" bestFit="1" customWidth="1"/>
    <col min="7" max="7" width="16.5703125" bestFit="1" customWidth="1"/>
  </cols>
  <sheetData>
    <row r="1" spans="1:7" x14ac:dyDescent="0.25">
      <c r="A1" s="3" t="s">
        <v>0</v>
      </c>
      <c r="B1" s="3" t="s">
        <v>76</v>
      </c>
      <c r="C1" s="4" t="s">
        <v>1</v>
      </c>
      <c r="D1" s="4" t="s">
        <v>4</v>
      </c>
      <c r="E1" s="5" t="s">
        <v>22</v>
      </c>
      <c r="F1" s="10" t="s">
        <v>24</v>
      </c>
      <c r="G1" s="5" t="s">
        <v>6</v>
      </c>
    </row>
    <row r="2" spans="1:7" x14ac:dyDescent="0.25">
      <c r="A2" s="6" t="s">
        <v>2</v>
      </c>
      <c r="B2" s="6" t="str">
        <f>"m00000" &amp; TEXT(ROW() - ROW(Table2[[#Headers],[UID]]), "0;-0")</f>
        <v>m000001</v>
      </c>
      <c r="C2" s="7" t="s">
        <v>3</v>
      </c>
      <c r="D2" s="7" t="s">
        <v>5</v>
      </c>
      <c r="E2" s="8" t="s">
        <v>23</v>
      </c>
      <c r="F2" s="11" t="s">
        <v>25</v>
      </c>
      <c r="G2" s="8" t="s">
        <v>7</v>
      </c>
    </row>
    <row r="3" spans="1:7" x14ac:dyDescent="0.25">
      <c r="A3" s="6" t="s">
        <v>20</v>
      </c>
      <c r="B3" s="6" t="str">
        <f>"m00000" &amp; TEXT(ROW() - ROW(Table2[[#Headers],[UID]]), "0;-0")</f>
        <v>m000002</v>
      </c>
      <c r="C3" s="7" t="s">
        <v>29</v>
      </c>
      <c r="D3" s="7" t="s">
        <v>21</v>
      </c>
      <c r="E3" s="8" t="s">
        <v>28</v>
      </c>
      <c r="F3" s="11" t="s">
        <v>26</v>
      </c>
      <c r="G3" s="8" t="s">
        <v>27</v>
      </c>
    </row>
    <row r="4" spans="1:7" x14ac:dyDescent="0.25">
      <c r="A4" s="6" t="s">
        <v>37</v>
      </c>
      <c r="B4" s="6" t="str">
        <f>"m00000" &amp; TEXT(ROW() - ROW(Table2[[#Headers],[UID]]), "0;-0")</f>
        <v>m000003</v>
      </c>
      <c r="C4" s="7" t="s">
        <v>38</v>
      </c>
      <c r="D4" s="7" t="s">
        <v>39</v>
      </c>
      <c r="E4" s="8" t="s">
        <v>69</v>
      </c>
      <c r="F4" s="11" t="s">
        <v>70</v>
      </c>
      <c r="G4" s="9" t="s">
        <v>68</v>
      </c>
    </row>
    <row r="5" spans="1:7" x14ac:dyDescent="0.25">
      <c r="A5" s="6" t="s">
        <v>71</v>
      </c>
      <c r="B5" s="6" t="str">
        <f>"m00000" &amp; TEXT(ROW() - ROW(Table2[[#Headers],[UID]]), "0;-0")</f>
        <v>m000004</v>
      </c>
      <c r="C5" s="7" t="s">
        <v>72</v>
      </c>
      <c r="D5" s="7" t="s">
        <v>73</v>
      </c>
      <c r="E5" s="8" t="s">
        <v>74</v>
      </c>
      <c r="F5" s="11"/>
      <c r="G5" s="9" t="s">
        <v>75</v>
      </c>
    </row>
    <row r="6" spans="1:7" x14ac:dyDescent="0.25">
      <c r="A6" s="6" t="s">
        <v>88</v>
      </c>
      <c r="B6" s="6" t="str">
        <f>"m00000" &amp; TEXT(ROW() - ROW(Table2[[#Headers],[UID]]), "0;-0")</f>
        <v>m000005</v>
      </c>
      <c r="C6" s="7" t="s">
        <v>90</v>
      </c>
      <c r="D6" s="7" t="s">
        <v>91</v>
      </c>
      <c r="E6" s="7" t="s">
        <v>92</v>
      </c>
      <c r="F6" s="11" t="s">
        <v>93</v>
      </c>
      <c r="G6" s="9" t="s">
        <v>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0010-8426-4DA5-9D37-A1517A3A4563}">
  <dimension ref="A1:B6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7109375" customWidth="1"/>
    <col min="2" max="2" width="18.42578125" bestFit="1" customWidth="1"/>
  </cols>
  <sheetData>
    <row r="1" spans="1:2" x14ac:dyDescent="0.25">
      <c r="A1" s="3" t="s">
        <v>100</v>
      </c>
      <c r="B1" s="5" t="s">
        <v>8</v>
      </c>
    </row>
    <row r="2" spans="1:2" x14ac:dyDescent="0.25">
      <c r="A2" s="1" t="s">
        <v>77</v>
      </c>
      <c r="B2" s="2" t="s">
        <v>9</v>
      </c>
    </row>
    <row r="3" spans="1:2" x14ac:dyDescent="0.25">
      <c r="A3" s="1" t="s">
        <v>77</v>
      </c>
      <c r="B3" s="2" t="s">
        <v>10</v>
      </c>
    </row>
    <row r="4" spans="1:2" x14ac:dyDescent="0.25">
      <c r="A4" s="1" t="s">
        <v>77</v>
      </c>
      <c r="B4" s="2" t="s">
        <v>11</v>
      </c>
    </row>
    <row r="5" spans="1:2" x14ac:dyDescent="0.25">
      <c r="A5" s="1" t="s">
        <v>77</v>
      </c>
      <c r="B5" s="2" t="s">
        <v>12</v>
      </c>
    </row>
    <row r="6" spans="1:2" x14ac:dyDescent="0.25">
      <c r="A6" s="1" t="s">
        <v>77</v>
      </c>
      <c r="B6" s="2" t="s">
        <v>13</v>
      </c>
    </row>
    <row r="7" spans="1:2" x14ac:dyDescent="0.25">
      <c r="A7" s="1" t="s">
        <v>77</v>
      </c>
      <c r="B7" s="2" t="s">
        <v>14</v>
      </c>
    </row>
    <row r="8" spans="1:2" x14ac:dyDescent="0.25">
      <c r="A8" s="1" t="s">
        <v>77</v>
      </c>
      <c r="B8" s="2" t="s">
        <v>15</v>
      </c>
    </row>
    <row r="9" spans="1:2" x14ac:dyDescent="0.25">
      <c r="A9" s="1" t="s">
        <v>77</v>
      </c>
      <c r="B9" s="2" t="s">
        <v>16</v>
      </c>
    </row>
    <row r="10" spans="1:2" x14ac:dyDescent="0.25">
      <c r="A10" s="1" t="s">
        <v>77</v>
      </c>
      <c r="B10" s="2" t="s">
        <v>17</v>
      </c>
    </row>
    <row r="11" spans="1:2" x14ac:dyDescent="0.25">
      <c r="A11" s="1" t="s">
        <v>77</v>
      </c>
      <c r="B11" s="2" t="s">
        <v>18</v>
      </c>
    </row>
    <row r="12" spans="1:2" x14ac:dyDescent="0.25">
      <c r="A12" s="6" t="s">
        <v>77</v>
      </c>
      <c r="B12" s="8" t="s">
        <v>19</v>
      </c>
    </row>
    <row r="13" spans="1:2" x14ac:dyDescent="0.25">
      <c r="A13" s="6" t="s">
        <v>78</v>
      </c>
      <c r="B13" s="8" t="s">
        <v>30</v>
      </c>
    </row>
    <row r="14" spans="1:2" x14ac:dyDescent="0.25">
      <c r="A14" s="6" t="s">
        <v>78</v>
      </c>
      <c r="B14" s="8" t="s">
        <v>31</v>
      </c>
    </row>
    <row r="15" spans="1:2" x14ac:dyDescent="0.25">
      <c r="A15" s="6" t="s">
        <v>78</v>
      </c>
      <c r="B15" s="8" t="s">
        <v>32</v>
      </c>
    </row>
    <row r="16" spans="1:2" x14ac:dyDescent="0.25">
      <c r="A16" s="6" t="s">
        <v>78</v>
      </c>
      <c r="B16" s="8" t="s">
        <v>33</v>
      </c>
    </row>
    <row r="17" spans="1:2" x14ac:dyDescent="0.25">
      <c r="A17" s="6" t="s">
        <v>78</v>
      </c>
      <c r="B17" s="8" t="s">
        <v>34</v>
      </c>
    </row>
    <row r="18" spans="1:2" x14ac:dyDescent="0.25">
      <c r="A18" s="6" t="s">
        <v>78</v>
      </c>
      <c r="B18" s="8" t="s">
        <v>35</v>
      </c>
    </row>
    <row r="19" spans="1:2" x14ac:dyDescent="0.25">
      <c r="A19" s="6" t="s">
        <v>78</v>
      </c>
      <c r="B19" s="8" t="s">
        <v>14</v>
      </c>
    </row>
    <row r="20" spans="1:2" x14ac:dyDescent="0.25">
      <c r="A20" s="6" t="s">
        <v>78</v>
      </c>
      <c r="B20" s="8" t="s">
        <v>36</v>
      </c>
    </row>
    <row r="21" spans="1:2" x14ac:dyDescent="0.25">
      <c r="A21" s="6" t="s">
        <v>79</v>
      </c>
      <c r="B21" s="8" t="s">
        <v>32</v>
      </c>
    </row>
    <row r="22" spans="1:2" x14ac:dyDescent="0.25">
      <c r="A22" s="6" t="s">
        <v>79</v>
      </c>
      <c r="B22" s="8" t="s">
        <v>47</v>
      </c>
    </row>
    <row r="23" spans="1:2" x14ac:dyDescent="0.25">
      <c r="A23" s="6" t="s">
        <v>79</v>
      </c>
      <c r="B23" s="8" t="s">
        <v>18</v>
      </c>
    </row>
    <row r="24" spans="1:2" x14ac:dyDescent="0.25">
      <c r="A24" s="6" t="s">
        <v>79</v>
      </c>
      <c r="B24" s="8" t="s">
        <v>48</v>
      </c>
    </row>
    <row r="25" spans="1:2" x14ac:dyDescent="0.25">
      <c r="A25" s="6" t="s">
        <v>79</v>
      </c>
      <c r="B25" s="8" t="s">
        <v>49</v>
      </c>
    </row>
    <row r="26" spans="1:2" x14ac:dyDescent="0.25">
      <c r="A26" s="6" t="s">
        <v>79</v>
      </c>
      <c r="B26" s="8" t="s">
        <v>50</v>
      </c>
    </row>
    <row r="27" spans="1:2" x14ac:dyDescent="0.25">
      <c r="A27" s="6" t="s">
        <v>79</v>
      </c>
      <c r="B27" s="8" t="s">
        <v>51</v>
      </c>
    </row>
    <row r="28" spans="1:2" x14ac:dyDescent="0.25">
      <c r="A28" s="6" t="s">
        <v>79</v>
      </c>
      <c r="B28" s="8" t="s">
        <v>52</v>
      </c>
    </row>
    <row r="29" spans="1:2" x14ac:dyDescent="0.25">
      <c r="A29" s="6" t="s">
        <v>79</v>
      </c>
      <c r="B29" s="8" t="s">
        <v>53</v>
      </c>
    </row>
    <row r="30" spans="1:2" x14ac:dyDescent="0.25">
      <c r="A30" s="6" t="s">
        <v>79</v>
      </c>
      <c r="B30" s="8" t="s">
        <v>54</v>
      </c>
    </row>
    <row r="31" spans="1:2" x14ac:dyDescent="0.25">
      <c r="A31" s="6" t="s">
        <v>79</v>
      </c>
      <c r="B31" s="8" t="s">
        <v>55</v>
      </c>
    </row>
    <row r="32" spans="1:2" x14ac:dyDescent="0.25">
      <c r="A32" s="6" t="s">
        <v>79</v>
      </c>
      <c r="B32" s="8" t="s">
        <v>34</v>
      </c>
    </row>
    <row r="33" spans="1:2" x14ac:dyDescent="0.25">
      <c r="A33" s="6" t="s">
        <v>79</v>
      </c>
      <c r="B33" s="8" t="s">
        <v>56</v>
      </c>
    </row>
    <row r="34" spans="1:2" x14ac:dyDescent="0.25">
      <c r="A34" s="6" t="s">
        <v>79</v>
      </c>
      <c r="B34" s="8" t="s">
        <v>57</v>
      </c>
    </row>
    <row r="35" spans="1:2" x14ac:dyDescent="0.25">
      <c r="A35" s="6" t="s">
        <v>79</v>
      </c>
      <c r="B35" s="8" t="s">
        <v>58</v>
      </c>
    </row>
    <row r="36" spans="1:2" x14ac:dyDescent="0.25">
      <c r="A36" s="6" t="s">
        <v>79</v>
      </c>
      <c r="B36" s="8" t="s">
        <v>59</v>
      </c>
    </row>
    <row r="37" spans="1:2" x14ac:dyDescent="0.25">
      <c r="A37" s="6" t="s">
        <v>79</v>
      </c>
      <c r="B37" s="8" t="s">
        <v>60</v>
      </c>
    </row>
    <row r="38" spans="1:2" x14ac:dyDescent="0.25">
      <c r="A38" s="6" t="s">
        <v>79</v>
      </c>
      <c r="B38" s="8" t="s">
        <v>61</v>
      </c>
    </row>
    <row r="39" spans="1:2" x14ac:dyDescent="0.25">
      <c r="A39" s="6" t="s">
        <v>79</v>
      </c>
      <c r="B39" s="8" t="s">
        <v>62</v>
      </c>
    </row>
    <row r="40" spans="1:2" x14ac:dyDescent="0.25">
      <c r="A40" s="6" t="s">
        <v>79</v>
      </c>
      <c r="B40" s="8" t="s">
        <v>63</v>
      </c>
    </row>
    <row r="41" spans="1:2" x14ac:dyDescent="0.25">
      <c r="A41" s="6" t="s">
        <v>79</v>
      </c>
      <c r="B41" s="8" t="s">
        <v>36</v>
      </c>
    </row>
    <row r="42" spans="1:2" x14ac:dyDescent="0.25">
      <c r="A42" s="6" t="s">
        <v>79</v>
      </c>
      <c r="B42" s="8" t="s">
        <v>64</v>
      </c>
    </row>
    <row r="43" spans="1:2" x14ac:dyDescent="0.25">
      <c r="A43" s="6" t="s">
        <v>79</v>
      </c>
      <c r="B43" s="8" t="s">
        <v>65</v>
      </c>
    </row>
    <row r="44" spans="1:2" x14ac:dyDescent="0.25">
      <c r="A44" s="6" t="s">
        <v>79</v>
      </c>
      <c r="B44" s="8" t="s">
        <v>66</v>
      </c>
    </row>
    <row r="45" spans="1:2" x14ac:dyDescent="0.25">
      <c r="A45" s="6" t="s">
        <v>79</v>
      </c>
      <c r="B45" s="8" t="s">
        <v>67</v>
      </c>
    </row>
    <row r="46" spans="1:2" x14ac:dyDescent="0.25">
      <c r="A46" s="6" t="s">
        <v>80</v>
      </c>
      <c r="B46" s="8" t="s">
        <v>9</v>
      </c>
    </row>
    <row r="47" spans="1:2" x14ac:dyDescent="0.25">
      <c r="A47" s="6" t="s">
        <v>80</v>
      </c>
      <c r="B47" s="8" t="s">
        <v>81</v>
      </c>
    </row>
    <row r="48" spans="1:2" x14ac:dyDescent="0.25">
      <c r="A48" s="6" t="s">
        <v>80</v>
      </c>
      <c r="B48" s="8" t="s">
        <v>82</v>
      </c>
    </row>
    <row r="49" spans="1:2" x14ac:dyDescent="0.25">
      <c r="A49" s="6" t="s">
        <v>80</v>
      </c>
      <c r="B49" s="8" t="s">
        <v>83</v>
      </c>
    </row>
    <row r="50" spans="1:2" x14ac:dyDescent="0.25">
      <c r="A50" s="6" t="s">
        <v>80</v>
      </c>
      <c r="B50" s="8" t="s">
        <v>84</v>
      </c>
    </row>
    <row r="51" spans="1:2" x14ac:dyDescent="0.25">
      <c r="A51" s="6" t="s">
        <v>80</v>
      </c>
      <c r="B51" s="8" t="s">
        <v>85</v>
      </c>
    </row>
    <row r="52" spans="1:2" x14ac:dyDescent="0.25">
      <c r="A52" s="6" t="s">
        <v>80</v>
      </c>
      <c r="B52" s="8" t="s">
        <v>86</v>
      </c>
    </row>
    <row r="53" spans="1:2" x14ac:dyDescent="0.25">
      <c r="A53" s="6" t="s">
        <v>80</v>
      </c>
      <c r="B53" s="8" t="s">
        <v>51</v>
      </c>
    </row>
    <row r="54" spans="1:2" x14ac:dyDescent="0.25">
      <c r="A54" s="6" t="s">
        <v>80</v>
      </c>
      <c r="B54" s="8" t="s">
        <v>87</v>
      </c>
    </row>
    <row r="55" spans="1:2" x14ac:dyDescent="0.25">
      <c r="A55" s="6" t="s">
        <v>89</v>
      </c>
      <c r="B55" s="8" t="s">
        <v>95</v>
      </c>
    </row>
    <row r="56" spans="1:2" x14ac:dyDescent="0.25">
      <c r="A56" s="6" t="s">
        <v>89</v>
      </c>
      <c r="B56" s="8" t="s">
        <v>96</v>
      </c>
    </row>
    <row r="57" spans="1:2" x14ac:dyDescent="0.25">
      <c r="A57" s="6" t="s">
        <v>89</v>
      </c>
      <c r="B57" s="8" t="s">
        <v>97</v>
      </c>
    </row>
    <row r="58" spans="1:2" x14ac:dyDescent="0.25">
      <c r="A58" s="6" t="s">
        <v>89</v>
      </c>
      <c r="B58" s="8" t="s">
        <v>81</v>
      </c>
    </row>
    <row r="59" spans="1:2" x14ac:dyDescent="0.25">
      <c r="A59" s="6" t="s">
        <v>89</v>
      </c>
      <c r="B59" s="8" t="s">
        <v>98</v>
      </c>
    </row>
    <row r="60" spans="1:2" x14ac:dyDescent="0.25">
      <c r="A60" s="6" t="s">
        <v>89</v>
      </c>
      <c r="B60" s="8" t="s">
        <v>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662C-692A-4A45-AA4F-75A27046A9CD}">
  <dimension ref="A1:B3"/>
  <sheetViews>
    <sheetView workbookViewId="0"/>
  </sheetViews>
  <sheetFormatPr defaultRowHeight="15" x14ac:dyDescent="0.25"/>
  <cols>
    <col min="1" max="1" width="11.7109375" customWidth="1"/>
  </cols>
  <sheetData>
    <row r="1" spans="1:2" x14ac:dyDescent="0.25">
      <c r="A1" s="3" t="s">
        <v>100</v>
      </c>
      <c r="B1" s="13" t="s">
        <v>40</v>
      </c>
    </row>
    <row r="2" spans="1:2" x14ac:dyDescent="0.25">
      <c r="A2" s="14" t="s">
        <v>79</v>
      </c>
      <c r="B2" s="15" t="s">
        <v>42</v>
      </c>
    </row>
    <row r="3" spans="1:2" x14ac:dyDescent="0.25">
      <c r="A3" s="14" t="s">
        <v>79</v>
      </c>
      <c r="B3" s="15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61E6-D3C1-47E8-B2E1-3DBA27FAE247}">
  <dimension ref="A1:B4"/>
  <sheetViews>
    <sheetView tabSelected="1" workbookViewId="0">
      <selection activeCell="B13" sqref="B13"/>
    </sheetView>
  </sheetViews>
  <sheetFormatPr defaultRowHeight="15" x14ac:dyDescent="0.25"/>
  <cols>
    <col min="1" max="1" width="11.7109375" customWidth="1"/>
    <col min="2" max="2" width="11.7109375" bestFit="1" customWidth="1"/>
  </cols>
  <sheetData>
    <row r="1" spans="1:2" x14ac:dyDescent="0.25">
      <c r="A1" s="3" t="s">
        <v>100</v>
      </c>
      <c r="B1" s="13" t="s">
        <v>41</v>
      </c>
    </row>
    <row r="2" spans="1:2" x14ac:dyDescent="0.25">
      <c r="A2" s="14" t="s">
        <v>79</v>
      </c>
      <c r="B2" s="15" t="s">
        <v>44</v>
      </c>
    </row>
    <row r="3" spans="1:2" x14ac:dyDescent="0.25">
      <c r="A3" s="14" t="s">
        <v>79</v>
      </c>
      <c r="B3" s="15" t="s">
        <v>45</v>
      </c>
    </row>
    <row r="4" spans="1:2" x14ac:dyDescent="0.25">
      <c r="A4" s="14" t="s">
        <v>79</v>
      </c>
      <c r="B4" s="15" t="s">
        <v>46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1-namelist</vt:lpstr>
      <vt:lpstr>2-component</vt:lpstr>
      <vt:lpstr>3-function</vt:lpstr>
      <vt:lpstr>4-usedfor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2026-04-22T11:23:45Z</dcterms:created>
  <dcterms:modified xsi:type="dcterms:W3CDTF">2026-04-22T12:50:57Z</dcterms:modified>
</cp:coreProperties>
</file>